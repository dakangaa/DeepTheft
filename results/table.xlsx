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540"/>
  </bookViews>
  <sheets>
    <sheet name="overall" sheetId="1" r:id="rId1"/>
    <sheet name="test_domain_k" sheetId="2" r:id="rId2"/>
    <sheet name="test_domain_oc" sheetId="3" r:id="rId3"/>
    <sheet name="test_domain_s" sheetId="9" r:id="rId4"/>
    <sheet name="od_num" sheetId="4" r:id="rId5"/>
    <sheet name="data_size" sheetId="7" r:id="rId6"/>
    <sheet name="RAPL" sheetId="6" r:id="rId7"/>
    <sheet name="abol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<sst xmlns="http://schemas.openxmlformats.org/spreadsheetml/2006/main" count="86" uniqueCount="47">
  <si>
    <t>layer</t>
  </si>
  <si>
    <t>Hypers</t>
  </si>
  <si>
    <t>Acc</t>
  </si>
  <si>
    <t>F1</t>
  </si>
  <si>
    <t>R</t>
  </si>
  <si>
    <t>P</t>
  </si>
  <si>
    <t>conv2d</t>
  </si>
  <si>
    <t>K</t>
  </si>
  <si>
    <t>S</t>
  </si>
  <si>
    <t>Cout</t>
  </si>
  <si>
    <t>max_pool2d</t>
  </si>
  <si>
    <t>linear</t>
  </si>
  <si>
    <t>Fout</t>
  </si>
  <si>
    <t>weighted average</t>
  </si>
  <si>
    <t>160</t>
  </si>
  <si>
    <t>192</t>
  </si>
  <si>
    <t>224</t>
  </si>
  <si>
    <t>299</t>
  </si>
  <si>
    <t>331</t>
  </si>
  <si>
    <t>Ours</t>
  </si>
  <si>
    <t>Baseline</t>
  </si>
  <si>
    <t>Diff</t>
  </si>
  <si>
    <t>Model</t>
  </si>
  <si>
    <t>Src Domains</t>
  </si>
  <si>
    <t>Regression
(Acc of Cout)</t>
  </si>
  <si>
    <t>1</t>
  </si>
  <si>
    <t>2</t>
  </si>
  <si>
    <t>4</t>
  </si>
  <si>
    <t>Classification
(F1 of S)</t>
  </si>
  <si>
    <t>Data Ratio</t>
  </si>
  <si>
    <t>ours</t>
  </si>
  <si>
    <t>baseline</t>
  </si>
  <si>
    <t>diff</t>
  </si>
  <si>
    <t>RAPL Domain</t>
  </si>
  <si>
    <t>PP0</t>
  </si>
  <si>
    <t>DRAM</t>
  </si>
  <si>
    <t>PP0+DRAM</t>
  </si>
  <si>
    <t>回归模型</t>
  </si>
  <si>
    <t>分类模型</t>
  </si>
  <si>
    <t>Acc of Oc</t>
  </si>
  <si>
    <t>F1 of S</t>
  </si>
  <si>
    <t>完整</t>
  </si>
  <si>
    <t>回归模块和回归Loss换成MSELoss</t>
  </si>
  <si>
    <t>去掉Lvar</t>
  </si>
  <si>
    <t>mlp换成linear</t>
  </si>
  <si>
    <t>分类模块和分类Loss换成CELoss</t>
  </si>
  <si>
    <t>分类模块依赖Loss中的每个部分，尽管将整个分类模块替换形成的降低并不大，但在调整训练数据比例的实验中，当数据减少后，相比基线模型（使用linear和CELoss）性能提升由2%到10+%，同时，使用mlp带来的性能提升有限，综上所述，我们提出的分类模块对模型的性能提升具有明显效果，但由于数据过于充分，效果表现的不明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</si>
</sst>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#\ ?/?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AE81FF"/>
      <name val="Droid Sa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/>
    <xf numFmtId="178" fontId="0" fillId="0" borderId="0" xfId="0" applyNumberFormat="1"/>
    <xf numFmtId="177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J15" sqref="J15"/>
    </sheetView>
  </sheetViews>
  <sheetFormatPr defaultColWidth="9" defaultRowHeight="15.6" outlineLevelCol="6"/>
  <cols>
    <col min="1" max="1" width="11.1666666666667" customWidth="1"/>
    <col min="2" max="2" width="5.05555555555556" customWidth="1"/>
    <col min="3" max="6" width="7.33333333333333" customWidth="1"/>
    <col min="8" max="8" width="12.1666666666667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7">
      <c r="A2" s="13" t="s">
        <v>6</v>
      </c>
      <c r="B2" t="s">
        <v>7</v>
      </c>
      <c r="C2" s="6">
        <v>99.7666</v>
      </c>
      <c r="D2" s="6">
        <v>99.7662</v>
      </c>
      <c r="E2" s="6">
        <v>99.7666</v>
      </c>
      <c r="F2" s="6">
        <v>99.767</v>
      </c>
      <c r="G2" s="15">
        <v>442344</v>
      </c>
    </row>
    <row r="3" spans="2:7">
      <c r="B3" t="s">
        <v>8</v>
      </c>
      <c r="C3" s="6">
        <v>98.286</v>
      </c>
      <c r="D3" s="6">
        <v>98.4008</v>
      </c>
      <c r="E3" s="6">
        <v>98.286</v>
      </c>
      <c r="F3" s="6">
        <v>98.69</v>
      </c>
      <c r="G3" s="15">
        <v>442344</v>
      </c>
    </row>
    <row r="4" spans="2:7">
      <c r="B4" t="s">
        <v>9</v>
      </c>
      <c r="C4" s="6">
        <v>91.8696</v>
      </c>
      <c r="D4" s="6"/>
      <c r="E4" s="6"/>
      <c r="F4" s="6"/>
      <c r="G4" s="15">
        <v>442344</v>
      </c>
    </row>
    <row r="5" spans="1:7">
      <c r="A5" s="13" t="s">
        <v>10</v>
      </c>
      <c r="B5" t="s">
        <v>7</v>
      </c>
      <c r="C5" s="6">
        <v>99.999</v>
      </c>
      <c r="D5" s="6">
        <v>99.999</v>
      </c>
      <c r="E5" s="6">
        <v>99.999</v>
      </c>
      <c r="F5" s="6">
        <v>99.999</v>
      </c>
      <c r="G5">
        <v>20488</v>
      </c>
    </row>
    <row r="6" spans="2:7">
      <c r="B6" t="s">
        <v>8</v>
      </c>
      <c r="C6" s="6">
        <v>100</v>
      </c>
      <c r="D6" s="6">
        <v>100</v>
      </c>
      <c r="E6" s="6">
        <v>100</v>
      </c>
      <c r="F6" s="6">
        <v>100</v>
      </c>
      <c r="G6">
        <v>20488</v>
      </c>
    </row>
    <row r="7" spans="2:7">
      <c r="B7" t="s">
        <v>5</v>
      </c>
      <c r="C7" s="6">
        <v>99.999</v>
      </c>
      <c r="D7" s="6">
        <v>99.999</v>
      </c>
      <c r="E7" s="6">
        <v>99.999</v>
      </c>
      <c r="F7" s="6">
        <v>99.999</v>
      </c>
      <c r="G7">
        <v>20488</v>
      </c>
    </row>
    <row r="8" spans="1:7">
      <c r="A8" s="13" t="s">
        <v>11</v>
      </c>
      <c r="B8" t="s">
        <v>12</v>
      </c>
      <c r="C8" s="6">
        <v>99.9868</v>
      </c>
      <c r="D8" s="6"/>
      <c r="E8" s="6"/>
      <c r="F8" s="6"/>
      <c r="G8">
        <v>12128</v>
      </c>
    </row>
    <row r="9" spans="1:6">
      <c r="A9" s="14" t="s">
        <v>13</v>
      </c>
      <c r="B9" s="14"/>
      <c r="C9" s="6" cm="1">
        <f t="array" ref="C9">SUM(C2:C8*G2:G8)/SUM(G2:G8)</f>
        <v>96.8170933606735</v>
      </c>
      <c r="D9" s="6" cm="1">
        <f t="array" ref="D9">(SUM(D2:D3*G2:G3)+SUM(D5:D7*G5:G7))/(SUM(G2:G3)+SUM(G5:G7))</f>
        <v>99.1429944364119</v>
      </c>
      <c r="E9" s="6" cm="1">
        <f t="array" ref="E9">(SUM(E2:E3*G2:G3)+SUM(E5:E7*G5:G7))/(SUM(G2:G3)+SUM(G5:G7))</f>
        <v>99.0895102672721</v>
      </c>
      <c r="F9" s="6" cm="1">
        <f t="array" ref="F9">(SUM(F2:F3*G2:G3)+SUM(F5:F7*G5:G7))/(SUM(G2:G3)+SUM(G5:G7))</f>
        <v>99.2785749351056</v>
      </c>
    </row>
    <row r="11" spans="6:7">
      <c r="F11" s="2"/>
      <c r="G11" s="15"/>
    </row>
    <row r="12" spans="6:6">
      <c r="F12" s="2"/>
    </row>
    <row r="15" spans="3:4">
      <c r="C15" s="2"/>
      <c r="D15" s="15"/>
    </row>
    <row r="16" spans="3:4">
      <c r="C16" s="2"/>
      <c r="D16" s="15"/>
    </row>
    <row r="17" spans="3:3">
      <c r="C17" s="2"/>
    </row>
    <row r="19" spans="3:3">
      <c r="C19" s="2"/>
    </row>
    <row r="21" spans="3:3">
      <c r="C21" s="2"/>
    </row>
  </sheetData>
  <mergeCells count="3">
    <mergeCell ref="A9:B9"/>
    <mergeCell ref="A2:A4"/>
    <mergeCell ref="A5:A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5.6" outlineLevelRow="3" outlineLevelCol="5"/>
  <sheetData>
    <row r="1" spans="2:6"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</row>
    <row r="2" spans="1:6">
      <c r="A2" s="11" t="s">
        <v>19</v>
      </c>
      <c r="B2">
        <v>99.977</v>
      </c>
      <c r="C2">
        <v>99.989</v>
      </c>
      <c r="D2">
        <v>99.886</v>
      </c>
      <c r="E2">
        <v>99.075</v>
      </c>
      <c r="F2">
        <v>99.904</v>
      </c>
    </row>
    <row r="3" spans="1:6">
      <c r="A3" s="11" t="s">
        <v>20</v>
      </c>
      <c r="B3">
        <v>99.471</v>
      </c>
      <c r="C3">
        <v>99.851</v>
      </c>
      <c r="D3">
        <v>99.399</v>
      </c>
      <c r="E3">
        <v>99.916</v>
      </c>
      <c r="F3">
        <v>98.793</v>
      </c>
    </row>
    <row r="4" spans="1:6">
      <c r="A4" s="11" t="s">
        <v>21</v>
      </c>
      <c r="B4">
        <v>0.506</v>
      </c>
      <c r="C4">
        <v>0.138000000000005</v>
      </c>
      <c r="D4">
        <v>0.486999999999995</v>
      </c>
      <c r="E4">
        <v>-0.840999999999994</v>
      </c>
      <c r="F4">
        <v>1.11099999999999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5.6" outlineLevelRow="3" outlineLevelCol="5"/>
  <sheetData>
    <row r="1" spans="2:6"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</row>
    <row r="2" spans="1:6">
      <c r="A2" s="11" t="s">
        <v>19</v>
      </c>
      <c r="B2">
        <v>94.35</v>
      </c>
      <c r="C2">
        <v>97.671</v>
      </c>
      <c r="D2">
        <v>95.095</v>
      </c>
      <c r="E2">
        <v>76.262</v>
      </c>
      <c r="F2">
        <v>95.97</v>
      </c>
    </row>
    <row r="3" spans="1:6">
      <c r="A3" s="11" t="s">
        <v>20</v>
      </c>
      <c r="B3">
        <v>90.808</v>
      </c>
      <c r="C3">
        <v>91.56</v>
      </c>
      <c r="D3">
        <v>91.857</v>
      </c>
      <c r="E3">
        <v>54.616</v>
      </c>
      <c r="F3">
        <v>87.731</v>
      </c>
    </row>
    <row r="4" spans="1:6">
      <c r="A4" s="11" t="s">
        <v>21</v>
      </c>
      <c r="B4">
        <v>3.54199999999999</v>
      </c>
      <c r="C4">
        <v>6.111</v>
      </c>
      <c r="D4">
        <v>3.238</v>
      </c>
      <c r="E4">
        <v>21.646</v>
      </c>
      <c r="F4">
        <v>8.239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2" sqref="E2"/>
    </sheetView>
  </sheetViews>
  <sheetFormatPr defaultColWidth="9" defaultRowHeight="15.6" outlineLevelRow="3" outlineLevelCol="5"/>
  <sheetData>
    <row r="1" spans="2:6"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</row>
    <row r="2" spans="1:6">
      <c r="A2" s="11" t="s">
        <v>19</v>
      </c>
      <c r="B2">
        <v>99.379</v>
      </c>
      <c r="C2">
        <v>99.833</v>
      </c>
      <c r="D2">
        <v>99.277</v>
      </c>
      <c r="E2" s="12">
        <v>97.991</v>
      </c>
      <c r="F2">
        <v>99.931</v>
      </c>
    </row>
    <row r="3" spans="1:6">
      <c r="A3" s="11" t="s">
        <v>20</v>
      </c>
      <c r="B3">
        <v>95.506</v>
      </c>
      <c r="C3">
        <v>97.899</v>
      </c>
      <c r="D3">
        <v>97.336</v>
      </c>
      <c r="E3">
        <v>99.178</v>
      </c>
      <c r="F3">
        <v>97.771</v>
      </c>
    </row>
    <row r="4" spans="1:6">
      <c r="A4" s="11" t="s">
        <v>21</v>
      </c>
      <c r="B4">
        <v>3.873</v>
      </c>
      <c r="C4">
        <v>1.934</v>
      </c>
      <c r="D4">
        <v>1.941</v>
      </c>
      <c r="E4">
        <f>E2-E3</f>
        <v>-1.187</v>
      </c>
      <c r="F4">
        <v>2.16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A7"/>
    </sheetView>
  </sheetViews>
  <sheetFormatPr defaultColWidth="9" defaultRowHeight="15.6" outlineLevelRow="6" outlineLevelCol="4"/>
  <sheetData>
    <row r="1" spans="1:5">
      <c r="A1" t="s">
        <v>22</v>
      </c>
      <c r="B1" t="s">
        <v>23</v>
      </c>
      <c r="C1" s="11" t="s">
        <v>19</v>
      </c>
      <c r="D1" s="11" t="s">
        <v>20</v>
      </c>
      <c r="E1" s="11" t="s">
        <v>21</v>
      </c>
    </row>
    <row r="2" spans="1:5">
      <c r="A2" s="5" t="s">
        <v>24</v>
      </c>
      <c r="B2" s="11" t="s">
        <v>25</v>
      </c>
      <c r="C2" s="6">
        <v>79.427</v>
      </c>
      <c r="D2" s="6">
        <v>62.172</v>
      </c>
      <c r="E2" s="6">
        <v>17.255</v>
      </c>
    </row>
    <row r="3" spans="1:5">
      <c r="A3" s="7"/>
      <c r="B3" s="11" t="s">
        <v>26</v>
      </c>
      <c r="C3" s="6">
        <v>81.733</v>
      </c>
      <c r="D3" s="6">
        <v>71.545</v>
      </c>
      <c r="E3" s="6">
        <v>10.188</v>
      </c>
    </row>
    <row r="4" spans="1:5">
      <c r="A4" s="7"/>
      <c r="B4" s="11" t="s">
        <v>27</v>
      </c>
      <c r="C4" s="6">
        <v>95.97</v>
      </c>
      <c r="D4" s="6">
        <v>87.731</v>
      </c>
      <c r="E4" s="6">
        <v>8.239</v>
      </c>
    </row>
    <row r="5" spans="1:5">
      <c r="A5" s="5" t="s">
        <v>28</v>
      </c>
      <c r="B5" s="11" t="s">
        <v>25</v>
      </c>
      <c r="C5" s="6">
        <v>97.469</v>
      </c>
      <c r="D5" s="6">
        <v>92.451</v>
      </c>
      <c r="E5" s="6">
        <v>5.018</v>
      </c>
    </row>
    <row r="6" spans="1:5">
      <c r="A6" s="7"/>
      <c r="B6" s="11" t="s">
        <v>26</v>
      </c>
      <c r="C6" s="6">
        <v>98.388</v>
      </c>
      <c r="D6" s="6">
        <v>95.792</v>
      </c>
      <c r="E6" s="6">
        <v>2.596</v>
      </c>
    </row>
    <row r="7" spans="1:5">
      <c r="A7" s="7"/>
      <c r="B7" s="11" t="s">
        <v>27</v>
      </c>
      <c r="C7" s="6">
        <v>99.931</v>
      </c>
      <c r="D7" s="6">
        <v>97.771</v>
      </c>
      <c r="E7" s="6">
        <v>2.16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:A7"/>
    </sheetView>
  </sheetViews>
  <sheetFormatPr defaultColWidth="8.88888888888889" defaultRowHeight="15.6" outlineLevelRow="6"/>
  <sheetData>
    <row r="1" spans="1:8">
      <c r="A1" t="s">
        <v>22</v>
      </c>
      <c r="B1" s="1" t="s">
        <v>29</v>
      </c>
      <c r="C1" t="s">
        <v>30</v>
      </c>
      <c r="D1" t="s">
        <v>31</v>
      </c>
      <c r="E1" t="s">
        <v>32</v>
      </c>
      <c r="F1" s="8"/>
      <c r="G1" s="8"/>
      <c r="H1" s="1"/>
    </row>
    <row r="2" spans="1:5">
      <c r="A2" s="5" t="s">
        <v>24</v>
      </c>
      <c r="B2" s="9">
        <v>0.25</v>
      </c>
      <c r="C2" s="6">
        <v>83.156</v>
      </c>
      <c r="D2" s="6">
        <v>81.8</v>
      </c>
      <c r="E2" s="6">
        <f>C2-D2</f>
        <v>1.35600000000001</v>
      </c>
    </row>
    <row r="3" spans="1:10">
      <c r="A3" s="7"/>
      <c r="B3" s="9">
        <v>0.5</v>
      </c>
      <c r="C3" s="6">
        <v>86.308</v>
      </c>
      <c r="D3" s="6">
        <v>83.801</v>
      </c>
      <c r="E3" s="6">
        <f>C3-D3</f>
        <v>2.507</v>
      </c>
      <c r="H3" s="2"/>
      <c r="I3" s="2"/>
      <c r="J3" s="2"/>
    </row>
    <row r="4" spans="1:10">
      <c r="A4" s="7"/>
      <c r="B4" s="9">
        <v>1</v>
      </c>
      <c r="C4" s="6">
        <v>91.8696</v>
      </c>
      <c r="D4" s="6">
        <v>83.314</v>
      </c>
      <c r="E4" s="6">
        <f>C4-D4</f>
        <v>8.55560000000001</v>
      </c>
      <c r="H4" s="2"/>
      <c r="I4" s="2"/>
      <c r="J4" s="2"/>
    </row>
    <row r="5" spans="1:10">
      <c r="A5" s="5" t="s">
        <v>28</v>
      </c>
      <c r="B5" s="9">
        <v>0.25</v>
      </c>
      <c r="C5" s="6">
        <v>97.6522</v>
      </c>
      <c r="D5" s="10">
        <v>88.0108</v>
      </c>
      <c r="E5" s="6">
        <f>C5-D5</f>
        <v>9.64139999999999</v>
      </c>
      <c r="H5" s="2"/>
      <c r="I5" s="2"/>
      <c r="J5" s="2"/>
    </row>
    <row r="6" spans="1:5">
      <c r="A6" s="7"/>
      <c r="B6" s="9">
        <v>0.5</v>
      </c>
      <c r="C6" s="6">
        <v>98.2672</v>
      </c>
      <c r="D6" s="10">
        <v>87.697</v>
      </c>
      <c r="E6" s="6">
        <f>C6-D6</f>
        <v>10.5702</v>
      </c>
    </row>
    <row r="7" spans="1:5">
      <c r="A7" s="7"/>
      <c r="B7" s="9">
        <v>1</v>
      </c>
      <c r="C7" s="6">
        <v>98.4008</v>
      </c>
      <c r="D7" s="10">
        <v>97.538</v>
      </c>
      <c r="E7" s="6">
        <f>C7-D7</f>
        <v>0.862800000000007</v>
      </c>
    </row>
  </sheetData>
  <mergeCells count="3">
    <mergeCell ref="H1:J1"/>
    <mergeCell ref="A2:A4"/>
    <mergeCell ref="A5:A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20" sqref="F20"/>
    </sheetView>
  </sheetViews>
  <sheetFormatPr defaultColWidth="8.88888888888889" defaultRowHeight="15.6" outlineLevelCol="5"/>
  <sheetData>
    <row r="1" spans="1:6">
      <c r="A1" t="s">
        <v>22</v>
      </c>
      <c r="B1" t="s">
        <v>33</v>
      </c>
      <c r="C1" t="s">
        <v>30</v>
      </c>
      <c r="D1" t="s">
        <v>31</v>
      </c>
      <c r="E1" t="s">
        <v>32</v>
      </c>
      <c r="F1" s="8"/>
    </row>
    <row r="2" spans="1:5">
      <c r="A2" s="5" t="s">
        <v>24</v>
      </c>
      <c r="B2" t="s">
        <v>34</v>
      </c>
      <c r="C2" s="6">
        <v>87.008</v>
      </c>
      <c r="D2" s="6">
        <v>80.6454</v>
      </c>
      <c r="E2" s="6">
        <f>C2-D2</f>
        <v>6.3626</v>
      </c>
    </row>
    <row r="3" spans="1:5">
      <c r="A3" s="7"/>
      <c r="B3" t="s">
        <v>35</v>
      </c>
      <c r="C3" s="6">
        <v>87.72</v>
      </c>
      <c r="D3" s="6">
        <v>74.7626</v>
      </c>
      <c r="E3" s="6">
        <f>C3-D3</f>
        <v>12.9574</v>
      </c>
    </row>
    <row r="4" spans="1:5">
      <c r="A4" s="7"/>
      <c r="B4" t="s">
        <v>36</v>
      </c>
      <c r="C4" s="6">
        <v>91.8696</v>
      </c>
      <c r="D4" s="6">
        <v>83.3144</v>
      </c>
      <c r="E4" s="6">
        <f>C4-D4</f>
        <v>8.5552</v>
      </c>
    </row>
    <row r="5" spans="1:5">
      <c r="A5" s="5" t="s">
        <v>28</v>
      </c>
      <c r="B5" t="s">
        <v>34</v>
      </c>
      <c r="C5" s="6">
        <v>98.0744</v>
      </c>
      <c r="D5" s="6">
        <v>88.0274</v>
      </c>
      <c r="E5" s="6">
        <f>C5-D5</f>
        <v>10.047</v>
      </c>
    </row>
    <row r="6" spans="1:5">
      <c r="A6" s="7"/>
      <c r="B6" t="s">
        <v>35</v>
      </c>
      <c r="C6" s="6">
        <v>97.4264</v>
      </c>
      <c r="D6" s="6">
        <v>86.558</v>
      </c>
      <c r="E6" s="6">
        <f>C6-D6</f>
        <v>10.8684</v>
      </c>
    </row>
    <row r="7" spans="1:5">
      <c r="A7" s="7"/>
      <c r="B7" t="s">
        <v>36</v>
      </c>
      <c r="C7" s="6">
        <v>98.4008</v>
      </c>
      <c r="D7" s="6">
        <v>97.538</v>
      </c>
      <c r="E7" s="6">
        <f>C7-D7</f>
        <v>0.862800000000007</v>
      </c>
    </row>
    <row r="8" spans="2:2">
      <c r="B8" s="2"/>
    </row>
    <row r="9" spans="2:2">
      <c r="B9" s="2"/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6" sqref="E6"/>
    </sheetView>
  </sheetViews>
  <sheetFormatPr defaultColWidth="8.88888888888889" defaultRowHeight="15.6" outlineLevelCol="6"/>
  <cols>
    <col min="5" max="5" width="20.3333333333333" customWidth="1"/>
    <col min="6" max="6" width="12.5" customWidth="1"/>
  </cols>
  <sheetData>
    <row r="1" spans="1:3">
      <c r="A1" s="1" t="s">
        <v>37</v>
      </c>
      <c r="C1" s="1" t="s">
        <v>38</v>
      </c>
    </row>
    <row r="2" spans="2:4">
      <c r="B2" t="s">
        <v>39</v>
      </c>
      <c r="D2" t="s">
        <v>40</v>
      </c>
    </row>
    <row r="3" spans="1:7">
      <c r="A3" t="s">
        <v>41</v>
      </c>
      <c r="B3" s="2">
        <v>91.8696</v>
      </c>
      <c r="C3" t="s">
        <v>41</v>
      </c>
      <c r="D3" s="2">
        <v>98.4008</v>
      </c>
      <c r="G3" s="2"/>
    </row>
    <row r="4" ht="33.6" customHeight="1" spans="1:7">
      <c r="A4" s="3" t="s">
        <v>42</v>
      </c>
      <c r="B4" s="2">
        <v>83.3144</v>
      </c>
      <c r="C4" t="s">
        <v>43</v>
      </c>
      <c r="D4">
        <v>84.1416</v>
      </c>
      <c r="G4" s="2"/>
    </row>
    <row r="5" ht="33.6" customHeight="1" spans="1:4">
      <c r="A5" t="s">
        <v>44</v>
      </c>
      <c r="B5" s="2">
        <v>82.4528</v>
      </c>
      <c r="C5" s="3" t="s">
        <v>45</v>
      </c>
      <c r="D5">
        <v>97.538</v>
      </c>
    </row>
    <row r="6" spans="3:4">
      <c r="C6" t="s">
        <v>44</v>
      </c>
      <c r="D6" s="4">
        <v>98.0008</v>
      </c>
    </row>
    <row r="7" ht="308.4" customHeight="1" spans="4:4">
      <c r="D7" s="3" t="s">
        <v>46</v>
      </c>
    </row>
    <row r="12" spans="1:1">
      <c r="A12" s="2"/>
    </row>
    <row r="13" spans="1:1">
      <c r="A13" s="2"/>
    </row>
    <row r="14" spans="1:1">
      <c r="A14" s="2"/>
    </row>
    <row r="15" spans="1:1">
      <c r="A15" s="2"/>
    </row>
  </sheetData>
  <mergeCells count="2">
    <mergeCell ref="A1:B1"/>
    <mergeCell ref="C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overall</vt:lpstr>
      <vt:lpstr>test_domain_k</vt:lpstr>
      <vt:lpstr>test_domain_oc</vt:lpstr>
      <vt:lpstr>test_domain_s</vt:lpstr>
      <vt:lpstr>od_num</vt:lpstr>
      <vt:lpstr>data_size</vt:lpstr>
      <vt:lpstr>RAPL</vt:lpstr>
      <vt:lpstr>abolation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大康康康</cp:lastModifiedBy>
  <dcterms:created xsi:type="dcterms:W3CDTF">2025-05-19T06:18:00Z</dcterms:created>
  <dcterms:modified xsi:type="dcterms:W3CDTF">2025-05-24T21:35:23Z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6AAC6049130AFCBB77AA28684BBBB132_42</vt:lpwstr>
  </property>
  <property fmtid="{D5CDD505-2E9C-101B-9397-08002B2CF9AE}" pid="3" name="KSOProductBuildVer">
    <vt:lpwstr>2052-12.1.0.17900</vt:lpwstr>
  </property>
</Properties>
</file>