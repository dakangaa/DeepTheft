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5540"/>
  </bookViews>
  <sheets>
    <sheet name="overall" sheetId="7" r:id="rId1"/>
    <sheet name="test_domain_k" sheetId="1" r:id="rId2"/>
    <sheet name="test_domain_oc" sheetId="2" r:id="rId3"/>
    <sheet name="od_num_oc" sheetId="3" r:id="rId4"/>
    <sheet name="od_num_k" sheetId="4" r:id="rId5"/>
    <sheet name="od_num_s" sheetId="5" r:id="rId6"/>
    <sheet name="RAPL" sheetId="6" r:id="rId7"/>
    <sheet name="data_size" sheetId="8" r:id="rId8"/>
    <sheet name="abolati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<sst xmlns="http://schemas.openxmlformats.org/spreadsheetml/2006/main" count="81" uniqueCount="43">
  <si>
    <t>layer</t>
  </si>
  <si>
    <t>Hypers</t>
  </si>
  <si>
    <t>Acc</t>
  </si>
  <si>
    <t>F1</t>
  </si>
  <si>
    <t>R</t>
  </si>
  <si>
    <t>P</t>
  </si>
  <si>
    <t>conv2d</t>
  </si>
  <si>
    <t>K</t>
  </si>
  <si>
    <t>S</t>
  </si>
  <si>
    <t>Cout</t>
  </si>
  <si>
    <t>max_pool2d</t>
  </si>
  <si>
    <t>linear</t>
  </si>
  <si>
    <t>Fout</t>
  </si>
  <si>
    <t>160</t>
  </si>
  <si>
    <t>192</t>
  </si>
  <si>
    <t>224</t>
  </si>
  <si>
    <t>299</t>
  </si>
  <si>
    <t>331</t>
  </si>
  <si>
    <t>Ours</t>
  </si>
  <si>
    <t>Baseline</t>
  </si>
  <si>
    <t>Diff</t>
  </si>
  <si>
    <t>源域数量</t>
  </si>
  <si>
    <t>1</t>
  </si>
  <si>
    <t>2</t>
  </si>
  <si>
    <t>3</t>
  </si>
  <si>
    <t>4</t>
  </si>
  <si>
    <t>RAPL Domain</t>
  </si>
  <si>
    <t>Acc of Oc</t>
  </si>
  <si>
    <t>F1 of K</t>
  </si>
  <si>
    <t>PP0</t>
  </si>
  <si>
    <t>DRAM</t>
  </si>
  <si>
    <t>PP0+DRAM</t>
  </si>
  <si>
    <t>Data Ratio</t>
  </si>
  <si>
    <t>ours</t>
  </si>
  <si>
    <t>baseline</t>
  </si>
  <si>
    <t>diff</t>
  </si>
  <si>
    <t>回归模型</t>
  </si>
  <si>
    <t>分类模型</t>
  </si>
  <si>
    <t>完整</t>
  </si>
  <si>
    <t>回归模块和回归Loss换成MSELoss</t>
  </si>
  <si>
    <t>去掉Lvar</t>
  </si>
  <si>
    <t>mlp换成linear</t>
  </si>
  <si>
    <t>分类模块和分类Loss换成CELoss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</si>
</sst>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  <numFmt numFmtId="177" formatCode="#\ ?/?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176" fontId="0" fillId="0" borderId="0" xfId="0" applyNumberFormat="1"/>
    <xf numFmtId="0" fontId="0" fillId="0" borderId="0" xfId="0" applyAlignment="1">
      <alignment wrapText="1"/>
    </xf>
    <xf numFmtId="177" fontId="0" fillId="0" borderId="0" xfId="0" applyNumberFormat="1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tabSelected="1" workbookViewId="0">
      <selection activeCell="E13" sqref="E13"/>
    </sheetView>
  </sheetViews>
  <sheetFormatPr defaultColWidth="9" defaultRowHeight="15.6" outlineLevelRow="7" outlineLevelCol="5"/>
  <sheetData>
    <row r="1" spans="1:6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>
      <c r="A2" s="6" t="s">
        <v>6</v>
      </c>
      <c r="B2" t="s">
        <v>7</v>
      </c>
      <c r="C2" s="3">
        <v>99.7666</v>
      </c>
      <c r="D2" s="3">
        <v>99.7662</v>
      </c>
      <c r="E2" s="3">
        <v>99.7666</v>
      </c>
      <c r="F2" s="3">
        <v>99.767</v>
      </c>
    </row>
    <row r="3" spans="1:6">
      <c r="A3" s="6"/>
      <c r="B3" t="s">
        <v>8</v>
      </c>
      <c r="C3" s="3">
        <v>98.286</v>
      </c>
      <c r="D3" s="3">
        <v>98.4008</v>
      </c>
      <c r="E3" s="3">
        <v>98.286</v>
      </c>
      <c r="F3" s="3">
        <v>98.69</v>
      </c>
    </row>
    <row r="4" spans="1:3">
      <c r="A4" s="6"/>
      <c r="B4" t="s">
        <v>9</v>
      </c>
      <c r="C4" s="3">
        <v>91.8696</v>
      </c>
    </row>
    <row r="5" spans="1:6">
      <c r="A5" s="6" t="s">
        <v>10</v>
      </c>
      <c r="B5" t="s">
        <v>7</v>
      </c>
      <c r="C5" s="3">
        <v>99.999</v>
      </c>
      <c r="D5" s="3">
        <v>99.999</v>
      </c>
      <c r="E5" s="3">
        <v>99.999</v>
      </c>
      <c r="F5" s="3">
        <v>99.999</v>
      </c>
    </row>
    <row r="6" spans="1:6">
      <c r="A6" s="6"/>
      <c r="B6" t="s">
        <v>8</v>
      </c>
      <c r="C6">
        <v>100</v>
      </c>
      <c r="D6">
        <v>100</v>
      </c>
      <c r="E6">
        <v>100</v>
      </c>
      <c r="F6">
        <v>100</v>
      </c>
    </row>
    <row r="7" spans="1:6">
      <c r="A7" s="6"/>
      <c r="B7" t="s">
        <v>5</v>
      </c>
      <c r="C7" s="3">
        <v>99.999</v>
      </c>
      <c r="D7" s="3">
        <v>99.999</v>
      </c>
      <c r="E7" s="3">
        <v>99.999</v>
      </c>
      <c r="F7" s="3">
        <v>99.999</v>
      </c>
    </row>
    <row r="8" spans="1:6">
      <c r="A8" s="6" t="s">
        <v>11</v>
      </c>
      <c r="B8" t="s">
        <v>12</v>
      </c>
      <c r="C8" s="3">
        <v>99.9868</v>
      </c>
      <c r="D8" s="3"/>
      <c r="E8" s="3"/>
      <c r="F8" s="3"/>
    </row>
  </sheetData>
  <mergeCells count="2">
    <mergeCell ref="A2:A4"/>
    <mergeCell ref="A5:A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A1" sqref="A1"/>
    </sheetView>
  </sheetViews>
  <sheetFormatPr defaultColWidth="9" defaultRowHeight="15.6" outlineLevelRow="3" outlineLevelCol="5"/>
  <sheetData>
    <row r="1" spans="2:6">
      <c r="B1" s="7" t="s">
        <v>13</v>
      </c>
      <c r="C1" s="7" t="s">
        <v>14</v>
      </c>
      <c r="D1" s="7" t="s">
        <v>15</v>
      </c>
      <c r="E1" s="7" t="s">
        <v>16</v>
      </c>
      <c r="F1" s="7" t="s">
        <v>17</v>
      </c>
    </row>
    <row r="2" spans="1:6">
      <c r="A2" s="7" t="s">
        <v>18</v>
      </c>
      <c r="B2">
        <v>99.977</v>
      </c>
      <c r="C2">
        <v>99.989</v>
      </c>
      <c r="D2">
        <v>99.886</v>
      </c>
      <c r="E2">
        <v>99.075</v>
      </c>
      <c r="F2">
        <v>99.904</v>
      </c>
    </row>
    <row r="3" spans="1:6">
      <c r="A3" s="7" t="s">
        <v>19</v>
      </c>
      <c r="B3">
        <v>99.471</v>
      </c>
      <c r="C3">
        <v>99.851</v>
      </c>
      <c r="D3">
        <v>99.399</v>
      </c>
      <c r="E3">
        <v>99.916</v>
      </c>
      <c r="F3">
        <v>98.793</v>
      </c>
    </row>
    <row r="4" spans="1:6">
      <c r="A4" s="7" t="s">
        <v>20</v>
      </c>
      <c r="B4">
        <v>0.506</v>
      </c>
      <c r="C4">
        <v>0.138000000000005</v>
      </c>
      <c r="D4">
        <v>0.486999999999995</v>
      </c>
      <c r="E4">
        <v>-0.840999999999994</v>
      </c>
      <c r="F4">
        <v>1.11099999999999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workbookViewId="0">
      <selection activeCell="A1" sqref="A1"/>
    </sheetView>
  </sheetViews>
  <sheetFormatPr defaultColWidth="9" defaultRowHeight="15.6" outlineLevelRow="3" outlineLevelCol="5"/>
  <sheetData>
    <row r="1" spans="2:6">
      <c r="B1" s="7" t="s">
        <v>13</v>
      </c>
      <c r="C1" s="7" t="s">
        <v>14</v>
      </c>
      <c r="D1" s="7" t="s">
        <v>15</v>
      </c>
      <c r="E1" s="7" t="s">
        <v>16</v>
      </c>
      <c r="F1" s="7" t="s">
        <v>17</v>
      </c>
    </row>
    <row r="2" spans="1:6">
      <c r="A2" s="7" t="s">
        <v>18</v>
      </c>
      <c r="B2">
        <v>94.35</v>
      </c>
      <c r="C2">
        <v>97.671</v>
      </c>
      <c r="D2">
        <v>95.095</v>
      </c>
      <c r="E2">
        <v>76.262</v>
      </c>
      <c r="F2">
        <v>95.97</v>
      </c>
    </row>
    <row r="3" spans="1:6">
      <c r="A3" s="7" t="s">
        <v>19</v>
      </c>
      <c r="B3">
        <v>90.808</v>
      </c>
      <c r="C3">
        <v>91.56</v>
      </c>
      <c r="D3">
        <v>91.857</v>
      </c>
      <c r="E3">
        <v>54.616</v>
      </c>
      <c r="F3">
        <v>87.731</v>
      </c>
    </row>
    <row r="4" spans="1:6">
      <c r="A4" s="7" t="s">
        <v>20</v>
      </c>
      <c r="B4">
        <v>3.54199999999999</v>
      </c>
      <c r="C4">
        <v>6.111</v>
      </c>
      <c r="D4">
        <v>3.238</v>
      </c>
      <c r="E4">
        <v>21.646</v>
      </c>
      <c r="F4">
        <v>8.239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selection activeCell="A1" sqref="A1"/>
    </sheetView>
  </sheetViews>
  <sheetFormatPr defaultColWidth="9" defaultRowHeight="15.6" outlineLevelRow="3" outlineLevelCol="4"/>
  <sheetData>
    <row r="1" spans="1:5">
      <c r="A1" s="6" t="s">
        <v>21</v>
      </c>
      <c r="B1" s="7" t="s">
        <v>22</v>
      </c>
      <c r="C1" s="7" t="s">
        <v>23</v>
      </c>
      <c r="D1" s="7" t="s">
        <v>24</v>
      </c>
      <c r="E1" s="7" t="s">
        <v>25</v>
      </c>
    </row>
    <row r="2" spans="1:5">
      <c r="A2" s="7" t="s">
        <v>18</v>
      </c>
      <c r="B2">
        <v>79.427</v>
      </c>
      <c r="C2">
        <v>81.733</v>
      </c>
      <c r="D2">
        <v>84.992</v>
      </c>
      <c r="E2">
        <v>95.97</v>
      </c>
    </row>
    <row r="3" spans="1:5">
      <c r="A3" s="7" t="s">
        <v>19</v>
      </c>
      <c r="B3">
        <v>62.172</v>
      </c>
      <c r="C3">
        <v>71.545</v>
      </c>
      <c r="D3">
        <v>81.32</v>
      </c>
      <c r="E3">
        <v>87.731</v>
      </c>
    </row>
    <row r="4" spans="1:5">
      <c r="A4" s="7" t="s">
        <v>20</v>
      </c>
      <c r="B4">
        <v>17.255</v>
      </c>
      <c r="C4">
        <v>10.188</v>
      </c>
      <c r="D4">
        <v>3.67200000000001</v>
      </c>
      <c r="E4">
        <v>8.239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A1" sqref="A1"/>
    </sheetView>
  </sheetViews>
  <sheetFormatPr defaultColWidth="9" defaultRowHeight="15.6" outlineLevelRow="4" outlineLevelCol="3"/>
  <sheetData>
    <row r="1" spans="2:4">
      <c r="B1" s="7" t="s">
        <v>18</v>
      </c>
      <c r="C1" s="7" t="s">
        <v>19</v>
      </c>
      <c r="D1" s="7" t="s">
        <v>20</v>
      </c>
    </row>
    <row r="2" spans="1:4">
      <c r="A2" s="7" t="s">
        <v>22</v>
      </c>
      <c r="B2">
        <v>95.212</v>
      </c>
      <c r="C2">
        <v>95.679</v>
      </c>
      <c r="D2">
        <v>-0.466999999999999</v>
      </c>
    </row>
    <row r="3" spans="1:4">
      <c r="A3" s="7" t="s">
        <v>23</v>
      </c>
      <c r="B3">
        <v>98.498</v>
      </c>
      <c r="C3">
        <v>96.949</v>
      </c>
      <c r="D3">
        <v>1.54900000000001</v>
      </c>
    </row>
    <row r="4" spans="1:4">
      <c r="A4" s="7" t="s">
        <v>24</v>
      </c>
      <c r="B4">
        <v>98.627</v>
      </c>
      <c r="C4">
        <v>96.944</v>
      </c>
      <c r="D4">
        <v>1.68299999999999</v>
      </c>
    </row>
    <row r="5" spans="1:4">
      <c r="A5" s="7" t="s">
        <v>25</v>
      </c>
      <c r="B5">
        <v>99.904</v>
      </c>
      <c r="C5">
        <v>98.793</v>
      </c>
      <c r="D5">
        <v>1.11099999999999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selection activeCell="E25" sqref="E25"/>
    </sheetView>
  </sheetViews>
  <sheetFormatPr defaultColWidth="9" defaultRowHeight="15.6" outlineLevelRow="3" outlineLevelCol="4"/>
  <sheetData>
    <row r="1" spans="1:5">
      <c r="A1" s="6" t="s">
        <v>21</v>
      </c>
      <c r="B1" s="7" t="s">
        <v>22</v>
      </c>
      <c r="C1" s="7" t="s">
        <v>23</v>
      </c>
      <c r="D1" s="7" t="s">
        <v>24</v>
      </c>
      <c r="E1" s="7" t="s">
        <v>25</v>
      </c>
    </row>
    <row r="2" spans="1:5">
      <c r="A2" s="7" t="s">
        <v>18</v>
      </c>
      <c r="B2">
        <v>97.469</v>
      </c>
      <c r="C2">
        <v>98.388</v>
      </c>
      <c r="D2">
        <v>98.508</v>
      </c>
      <c r="E2">
        <v>99.931</v>
      </c>
    </row>
    <row r="3" spans="1:5">
      <c r="A3" s="7" t="s">
        <v>19</v>
      </c>
      <c r="B3">
        <v>92.451</v>
      </c>
      <c r="C3">
        <v>95.792</v>
      </c>
      <c r="D3">
        <v>96.28</v>
      </c>
      <c r="E3">
        <v>97.771</v>
      </c>
    </row>
    <row r="4" spans="1:5">
      <c r="A4" s="7" t="s">
        <v>20</v>
      </c>
      <c r="B4">
        <v>5.018</v>
      </c>
      <c r="C4">
        <v>2.596</v>
      </c>
      <c r="D4">
        <v>2.22799999999999</v>
      </c>
      <c r="E4">
        <v>2.16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D10" sqref="D10"/>
    </sheetView>
  </sheetViews>
  <sheetFormatPr defaultColWidth="8.88888888888889" defaultRowHeight="15.6" outlineLevelRow="3" outlineLevelCol="2"/>
  <sheetData>
    <row r="1" spans="1:3">
      <c r="A1" t="s">
        <v>26</v>
      </c>
      <c r="B1" t="s">
        <v>27</v>
      </c>
      <c r="C1" t="s">
        <v>28</v>
      </c>
    </row>
    <row r="2" spans="1:3">
      <c r="A2" t="s">
        <v>29</v>
      </c>
      <c r="B2" s="3">
        <v>87.008</v>
      </c>
      <c r="C2" s="3">
        <v>99.582</v>
      </c>
    </row>
    <row r="3" spans="1:3">
      <c r="A3" t="s">
        <v>30</v>
      </c>
      <c r="B3" s="3">
        <v>87.72</v>
      </c>
      <c r="C3" s="3">
        <v>99.675</v>
      </c>
    </row>
    <row r="4" spans="1:3">
      <c r="A4" t="s">
        <v>31</v>
      </c>
      <c r="B4" s="3">
        <v>91.8696</v>
      </c>
      <c r="C4" s="3">
        <v>99.7662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selection activeCell="G22" sqref="G22"/>
    </sheetView>
  </sheetViews>
  <sheetFormatPr defaultColWidth="8.88888888888889" defaultRowHeight="15.6" outlineLevelRow="4" outlineLevelCol="6"/>
  <sheetData>
    <row r="1" spans="1:7">
      <c r="A1" s="1" t="s">
        <v>32</v>
      </c>
      <c r="B1" s="1" t="s">
        <v>27</v>
      </c>
      <c r="C1" s="1"/>
      <c r="D1" s="1"/>
      <c r="E1" s="1" t="s">
        <v>28</v>
      </c>
      <c r="F1" s="1"/>
      <c r="G1" s="1"/>
    </row>
    <row r="2" spans="2:7">
      <c r="B2" t="s">
        <v>33</v>
      </c>
      <c r="C2" t="s">
        <v>34</v>
      </c>
      <c r="D2" t="s">
        <v>35</v>
      </c>
      <c r="E2" t="s">
        <v>33</v>
      </c>
      <c r="F2" t="s">
        <v>34</v>
      </c>
      <c r="G2" t="s">
        <v>35</v>
      </c>
    </row>
    <row r="3" spans="1:7">
      <c r="A3" s="5">
        <v>0.25</v>
      </c>
      <c r="B3" s="3">
        <v>83.156</v>
      </c>
      <c r="C3" s="3">
        <v>81.8</v>
      </c>
      <c r="D3" s="3">
        <f>B3-C3</f>
        <v>1.35600000000001</v>
      </c>
      <c r="E3" s="3">
        <v>99.463</v>
      </c>
      <c r="F3" s="3">
        <v>97.19</v>
      </c>
      <c r="G3" s="3">
        <f>E3-F3</f>
        <v>2.273</v>
      </c>
    </row>
    <row r="4" spans="1:7">
      <c r="A4" s="5">
        <v>0.5</v>
      </c>
      <c r="B4" s="3">
        <v>86.308</v>
      </c>
      <c r="C4" s="3">
        <v>83.801</v>
      </c>
      <c r="D4" s="3">
        <f>B4-C4</f>
        <v>2.507</v>
      </c>
      <c r="E4" s="3">
        <v>99.776</v>
      </c>
      <c r="F4" s="3">
        <v>97.704</v>
      </c>
      <c r="G4" s="3">
        <f>E4-F4</f>
        <v>2.072</v>
      </c>
    </row>
    <row r="5" spans="1:7">
      <c r="A5" s="5">
        <v>1</v>
      </c>
      <c r="B5" s="3">
        <v>91.8696</v>
      </c>
      <c r="C5" s="3">
        <v>83.314</v>
      </c>
      <c r="D5" s="3">
        <f>B5-C5</f>
        <v>8.55560000000001</v>
      </c>
      <c r="E5" s="3">
        <v>99.7662</v>
      </c>
      <c r="F5" s="3">
        <v>99.486</v>
      </c>
      <c r="G5" s="3">
        <f>E5-F5</f>
        <v>0.280199999999994</v>
      </c>
    </row>
  </sheetData>
  <mergeCells count="2">
    <mergeCell ref="B1:D1"/>
    <mergeCell ref="E1:G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selection activeCell="D19" sqref="D19"/>
    </sheetView>
  </sheetViews>
  <sheetFormatPr defaultColWidth="8.88888888888889" defaultRowHeight="15.6" outlineLevelRow="5" outlineLevelCol="6"/>
  <sheetData>
    <row r="1" spans="1:4">
      <c r="A1" s="1" t="s">
        <v>36</v>
      </c>
      <c r="C1" s="1" t="s">
        <v>37</v>
      </c>
      <c r="D1" s="2"/>
    </row>
    <row r="2" spans="2:4">
      <c r="B2" t="s">
        <v>27</v>
      </c>
      <c r="D2" t="s">
        <v>28</v>
      </c>
    </row>
    <row r="3" spans="1:7">
      <c r="A3" t="s">
        <v>38</v>
      </c>
      <c r="B3" s="3">
        <v>91.8696</v>
      </c>
      <c r="C3" t="s">
        <v>38</v>
      </c>
      <c r="D3" s="3">
        <v>99.7666</v>
      </c>
      <c r="G3" s="3"/>
    </row>
    <row r="4" ht="33.6" spans="1:7">
      <c r="A4" s="4" t="s">
        <v>39</v>
      </c>
      <c r="B4" s="3">
        <v>83.3144</v>
      </c>
      <c r="C4" t="s">
        <v>40</v>
      </c>
      <c r="D4" s="3">
        <v>97.4934</v>
      </c>
      <c r="G4" s="3"/>
    </row>
    <row r="5" ht="33.6" spans="1:4">
      <c r="A5" t="s">
        <v>41</v>
      </c>
      <c r="B5" s="3">
        <v>82.4528</v>
      </c>
      <c r="C5" s="4" t="s">
        <v>42</v>
      </c>
      <c r="D5" s="3">
        <v>99.486</v>
      </c>
    </row>
    <row r="6" spans="3:4">
      <c r="C6" t="s">
        <v>41</v>
      </c>
      <c r="D6" s="3">
        <v>99.4142</v>
      </c>
    </row>
  </sheetData>
  <mergeCells count="2">
    <mergeCell ref="A1:B1"/>
    <mergeCell ref="C1:D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overall</vt:lpstr>
      <vt:lpstr>test_domain_k</vt:lpstr>
      <vt:lpstr>test_domain_oc</vt:lpstr>
      <vt:lpstr>od_num_oc</vt:lpstr>
      <vt:lpstr>od_num_k</vt:lpstr>
      <vt:lpstr>od_num_s</vt:lpstr>
      <vt:lpstr>RAPL</vt:lpstr>
      <vt:lpstr>data_size</vt:lpstr>
      <vt:lpstr>abolation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大康康康</cp:lastModifiedBy>
  <dcterms:created xsi:type="dcterms:W3CDTF">2025-05-18T06:18:00Z</dcterms:created>
  <dcterms:modified xsi:type="dcterms:W3CDTF">2025-05-18T16:02:33Z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6AAC6049130AFCBB77AA28684BBBB132_42</vt:lpwstr>
  </property>
  <property fmtid="{D5CDD505-2E9C-101B-9397-08002B2CF9AE}" pid="3" name="KSOProductBuildVer">
    <vt:lpwstr>2052-12.1.0.17900</vt:lpwstr>
  </property>
</Properties>
</file>